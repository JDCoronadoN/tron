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25F630E0-9300-4314-A815-8C36433FB7B8}" xr6:coauthVersionLast="47" xr6:coauthVersionMax="47" xr10:uidLastSave="{00000000-0000-0000-0000-000000000000}"/>
  <bookViews>
    <workbookView xWindow="-98" yWindow="-98" windowWidth="19396" windowHeight="11475" tabRatio="724" firstSheet="2" activeTab="8" xr2:uid="{00000000-000D-0000-FFFF-FFFF00000000}"/>
  </bookViews>
  <sheets>
    <sheet name="CASO DE USO" sheetId="10" r:id="rId1"/>
    <sheet name="Requisitos Funcionales" sheetId="1" r:id="rId2"/>
    <sheet name="Requisitos No Funcionales" sheetId="2" r:id="rId3"/>
    <sheet name="Reglas de Negocio" sheetId="3" r:id="rId4"/>
    <sheet name="TRANZABILIDAD" sheetId="9" r:id="rId5"/>
    <sheet name="METRICA" sheetId="11" r:id="rId6"/>
    <sheet name="MTBF" sheetId="13" r:id="rId7"/>
    <sheet name="MTTR" sheetId="14" r:id="rId8"/>
    <sheet name="IMTERPRETACION" sheetId="15" r:id="rId9"/>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 i="14" l="1"/>
  <c r="A2" i="13"/>
  <c r="B2" i="11"/>
</calcChain>
</file>

<file path=xl/sharedStrings.xml><?xml version="1.0" encoding="utf-8"?>
<sst xmlns="http://schemas.openxmlformats.org/spreadsheetml/2006/main" count="196" uniqueCount="154">
  <si>
    <t>Número</t>
  </si>
  <si>
    <t>Nombre</t>
  </si>
  <si>
    <t>Descripción breve</t>
  </si>
  <si>
    <t>Fuente</t>
  </si>
  <si>
    <t>Criterio de aceptación</t>
  </si>
  <si>
    <t>Dependencias</t>
  </si>
  <si>
    <t>Estado</t>
  </si>
  <si>
    <t>Requisito</t>
  </si>
  <si>
    <t>Descripción</t>
  </si>
  <si>
    <t>ID</t>
  </si>
  <si>
    <t>Regla</t>
  </si>
  <si>
    <t>Impacto</t>
  </si>
  <si>
    <t>Prioridad (Alta/Media/Baja)</t>
  </si>
  <si>
    <t>Tipo (Requisito/Restricción)</t>
  </si>
  <si>
    <t>Categoría (Usabilidad/Rendimiento/etc.)</t>
  </si>
  <si>
    <t>Caso de uso</t>
  </si>
  <si>
    <t>Caso de Prueba</t>
  </si>
  <si>
    <t>Resultado</t>
  </si>
  <si>
    <t>RF01</t>
  </si>
  <si>
    <t>RF02</t>
  </si>
  <si>
    <t>RF03</t>
  </si>
  <si>
    <t>RF04</t>
  </si>
  <si>
    <t>RF05</t>
  </si>
  <si>
    <t>RF06</t>
  </si>
  <si>
    <t>RNF01</t>
  </si>
  <si>
    <t>RNF02</t>
  </si>
  <si>
    <t>Ninguna</t>
  </si>
  <si>
    <t>Registro de Pacientes</t>
  </si>
  <si>
    <t>El sistema debe permitir el registro de nuevos pacientes con sus datos básicos</t>
  </si>
  <si>
    <t>Clínicas pequeñas</t>
  </si>
  <si>
    <t>Alta</t>
  </si>
  <si>
    <t>Pendiente</t>
  </si>
  <si>
    <t>Agenda de Citas</t>
  </si>
  <si>
    <t>El sistema debe permitir agendar citas médicas seleccionando médico, fecha y motivo</t>
  </si>
  <si>
    <t>Administradores de clínica</t>
  </si>
  <si>
    <t>RF01 (Pacientes), RF04 (Médicos)</t>
  </si>
  <si>
    <t>Notificación a Médicos</t>
  </si>
  <si>
    <t>El sistema debe enviar notificación automática al médico cuando se agenda una nueva cita</t>
  </si>
  <si>
    <t>Médicos</t>
  </si>
  <si>
    <t>Media</t>
  </si>
  <si>
    <t>RF02 (Agenda de Citas)</t>
  </si>
  <si>
    <t>Consulta de Agenda Médica</t>
  </si>
  <si>
    <t>El sistema debe permitir a médicos consultar su agenda diaria de citas</t>
  </si>
  <si>
    <t>Generación de Reportes PDF</t>
  </si>
  <si>
    <t>El sistema debe generar reportes semanales de atenciones en formato PDF</t>
  </si>
  <si>
    <t>Administración</t>
  </si>
  <si>
    <t>Alertas de Sobrecarga</t>
  </si>
  <si>
    <t>El sistema debe mostrar alertas cuando un médico tenga más de 10 citas en un día</t>
  </si>
  <si>
    <t>Administradores/Médicos</t>
  </si>
  <si>
    <t>Baja</t>
  </si>
  <si>
    <t>1. Formulario con campos: nombre, CI, teléfono
2. Validación de CI único
3. Confirmación de registro exitoso</t>
  </si>
  <si>
    <t>1. Selección de médico disponible
2. Calendario para fecha/hora
3. Registro de motivo de consulta
4. Confirmación de cita creada</t>
  </si>
  <si>
    <t>RF02 (Agenda de Citas</t>
  </si>
  <si>
    <t>1. Visualización de citas del día
2. Orden por hora de atención
3. Filtros por fecha
4. Acceso restringido por perfil</t>
  </si>
  <si>
    <t>1. Selección de período semanal
2. Generación automática en PDF
3. Inclusión de estadísticas básicas
4. Opción de descarga</t>
  </si>
  <si>
    <t xml:space="preserve">	1. Detección automática de &gt;10 citas
2. Alerta visible en interfaz
3. Notificación al administrador
4. Prevención de nuevas asignaciones</t>
  </si>
  <si>
    <t>Rendimiento</t>
  </si>
  <si>
    <t>El sistema deberá cargar cualquier pantalla en menos de 3 segundos bajo condiciones normales</t>
  </si>
  <si>
    <t>1. 95% de las pantallas cargan en ≤ 3 segundos
2. Pruebas con conexión mínima de 5 Mbps
3. Tiempo medido desde clic hasta contenido renderizado</t>
  </si>
  <si>
    <t>Confiabilidad</t>
  </si>
  <si>
    <t>El sistema deberá mantener un uptime del 99% mensual, excluyendo mantenimiento programado</t>
  </si>
  <si>
    <t>1. Uptime mensual ≥ 99%
2. Tiempo máximo de inactividad no planificada: 7.2 horas/mes
3. Monitoreo continuo 24/7 con reportes automáticos</t>
  </si>
  <si>
    <t>CU01: Registrar Paciente</t>
  </si>
  <si>
    <t>Correcto</t>
  </si>
  <si>
    <t>CU07: Validar Rendimiento</t>
  </si>
  <si>
    <t>Cumple</t>
  </si>
  <si>
    <t>CU01</t>
  </si>
  <si>
    <t>Registrar Paciente</t>
  </si>
  <si>
    <t>Permite registrar nuevos pacientes con sus datos personales en el sistema</t>
  </si>
  <si>
    <t>Recepcionista</t>
  </si>
  <si>
    <t>CU02</t>
  </si>
  <si>
    <t>Agendar Cita Médica</t>
  </si>
  <si>
    <t>Permite asignar una cita a un paciente con un médico en fecha y hora específica</t>
  </si>
  <si>
    <t>CU03</t>
  </si>
  <si>
    <t>Notificar Nueva Cita</t>
  </si>
  <si>
    <t>Envía notificación automática al médico cuando se agenda una cita para él</t>
  </si>
  <si>
    <t>Sistema</t>
  </si>
  <si>
    <t>CU04</t>
  </si>
  <si>
    <t>Consultar Agenda Diaria</t>
  </si>
  <si>
    <t>Permite al médico visualizar sus citas programadas para el día actual</t>
  </si>
  <si>
    <t>Médico</t>
  </si>
  <si>
    <t>CU05</t>
  </si>
  <si>
    <t>Generar Reporte Semanal</t>
  </si>
  <si>
    <t>Genera reporte PDF con atenciones realizadas durante la semana</t>
  </si>
  <si>
    <t>Administrador</t>
  </si>
  <si>
    <t>CU06</t>
  </si>
  <si>
    <t>Mostrar Alertas de Sobrecarga</t>
  </si>
  <si>
    <t>Muestra alertas cuando un médico tiene más de 10 citas en un día</t>
  </si>
  <si>
    <t>Sistema, Administrador</t>
  </si>
  <si>
    <t>CASO</t>
  </si>
  <si>
    <t>NOMBRE</t>
  </si>
  <si>
    <t>DESCRIPCIÓN</t>
  </si>
  <si>
    <t>ACTORES</t>
  </si>
  <si>
    <t>RN01</t>
  </si>
  <si>
    <t>Cada paciente debe tener un número de CI único en el sistema</t>
  </si>
  <si>
    <t>Ministerio de Salud</t>
  </si>
  <si>
    <t>Alto</t>
  </si>
  <si>
    <t>RN02</t>
  </si>
  <si>
    <t>Las citas solo pueden agendarse en horario laboral (7:00-19:00)</t>
  </si>
  <si>
    <t>Política de la clínica</t>
  </si>
  <si>
    <t>Medio</t>
  </si>
  <si>
    <t>RN03</t>
  </si>
  <si>
    <t>Un médico no puede tener más de 15 citas en un día</t>
  </si>
  <si>
    <t>Ley laboral médica</t>
  </si>
  <si>
    <t>RN04</t>
  </si>
  <si>
    <t>Las citas deben cancelarse con al menos 2 horas de anticipación</t>
  </si>
  <si>
    <t>RN05</t>
  </si>
  <si>
    <t>Solo médicos activos pueden recibir nuevas citas</t>
  </si>
  <si>
    <t>Administración clínica</t>
  </si>
  <si>
    <t>RN06</t>
  </si>
  <si>
    <t>Los reportes médicos deben conservarse por mínimo 10 años</t>
  </si>
  <si>
    <t>Ley de historiales médicos</t>
  </si>
  <si>
    <t>Código</t>
  </si>
  <si>
    <t>CP01: Registrar paciente con datos completos y CI único</t>
  </si>
  <si>
    <t>registrarPaciente()</t>
  </si>
  <si>
    <t>CU02: Agendar Cita Médica</t>
  </si>
  <si>
    <t>CP02: Agendar cita con médico disponible en horario válido</t>
  </si>
  <si>
    <t>crearCita()</t>
  </si>
  <si>
    <t>CU03: Notificar Nueva Cita</t>
  </si>
  <si>
    <t>CP03: Verificar envío de notificación al médico tras crear cita</t>
  </si>
  <si>
    <t>enviarNotificacion()</t>
  </si>
  <si>
    <t>CU04: Consultar Agenda Diaria</t>
  </si>
  <si>
    <t>CP04: Médico consulta su agenda del día actual</t>
  </si>
  <si>
    <t>obtenerAgendaDiaria()</t>
  </si>
  <si>
    <t>CU05: Generar Reporte Semanal</t>
  </si>
  <si>
    <t>CP05: Generar reporte PDF de atenciones de la semana 20-2024</t>
  </si>
  <si>
    <t>generarReportePDF()</t>
  </si>
  <si>
    <t>CU06: Mostrar Alertas de Sobrecarga</t>
  </si>
  <si>
    <t>CP06: Sistema muestra alerta cuando médico tiene 11 citas</t>
  </si>
  <si>
    <t>verificarSobrecarga()</t>
  </si>
  <si>
    <t>CP07: Pantalla principal carga en menos de 3 segundos</t>
  </si>
  <si>
    <t>medirTiempoCarga()</t>
  </si>
  <si>
    <t>CU08: Monitorear Disponibilidad</t>
  </si>
  <si>
    <t>CP08: Sistema disponible 99% del tiempo en mes de prueba</t>
  </si>
  <si>
    <t>calcularUptime()</t>
  </si>
  <si>
    <t>No cumple</t>
  </si>
  <si>
    <t>Modulo</t>
  </si>
  <si>
    <t>Densidad de defectos</t>
  </si>
  <si>
    <t>Numero de defectos</t>
  </si>
  <si>
    <t>tamaño del modulo</t>
  </si>
  <si>
    <t>Agenda Médica</t>
  </si>
  <si>
    <t>MTBF</t>
  </si>
  <si>
    <t>Tiempo total Operación</t>
  </si>
  <si>
    <t>Numero de falla</t>
  </si>
  <si>
    <t>MTTR</t>
  </si>
  <si>
    <t>Tiempo Total de reparación en minutos</t>
  </si>
  <si>
    <t>Numero de fallas</t>
  </si>
  <si>
    <t>Mayor</t>
  </si>
  <si>
    <t>¿El módulo es confiable?</t>
  </si>
  <si>
    <t>No, no es confiable. El módulo falla cada 40 horas en promedio, lo que significa que cada 1 o 2 días el sistema se cae. Para una clínica que necesita el sistema siempre disponible, esto es un problema serio. El requisito pedía 99% de disponibilidad, pero con estas fallas solo se alcanza como 97.5%.</t>
  </si>
  <si>
    <t>¿El tiempo de reparación es adecuado?</t>
  </si>
  <si>
    <t>Sí, el tiempo está bien. Cuando el sistema falla, lo reparan en 27 minutos promedio, que es rápido. El equipo responde bien cuando hay problemas. Pero el detalle es que aunque lo reparen rápido, igual sigue fallando muy seguido.</t>
  </si>
  <si>
    <t>¿Se deben asignar recursos extra de mantenimiento?</t>
  </si>
  <si>
    <t>Sí,totalmente. Hay que meterle más gente y tiempo a arreglar esto porque:
Es un sistema médico, no puede fallar tanto
El código tiene varios defectos que hay que corregir
Si no lo arreglan ahora, va a dar problemas cuando la clínica lo use todos los días
Lo que yo haría es poner a un desarrollador con experiencia a revisar el módulo de Agenda, que es donde están los principales problemas, y hacer más pruebas antes de que el sistema entre en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</si>
</sst>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rgb="FFFFFFFF"/>
      <name val="Calibri"/>
      <family val="2"/>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4"/>
        <bgColor indexed="64"/>
      </patternFill>
    </fill>
    <fill>
      <patternFill patternType="solid">
        <fgColor rgb="FF4F81BD"/>
      </patternFill>
    </fill>
    <fill>
      <patternFill patternType="solid">
        <fgColor theme="3" tint="0.59999389629810485"/>
        <bgColor indexed="64"/>
      </patternFill>
    </fill>
    <fill>
      <patternFill patternType="solid">
        <fgColor theme="4" tint="0.399975585192419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5" borderId="0" applyNumberFormat="0" applyBorder="0" applyAlignment="0" applyProtection="0"/>
  </cellStyleXfs>
  <cellXfs count="18">
    <xf numFmtId="0" fontId="0" fillId="0" borderId="0" xfId="0"/>
    <xf numFmtId="0" fontId="0" fillId="2" borderId="0" xfId="0" applyFont="1" applyFill="1"/>
    <xf numFmtId="0" fontId="0" fillId="0" borderId="0" xfId="0" applyAlignment="1">
      <alignment horizontal="center"/>
    </xf>
    <xf numFmtId="0" fontId="0" fillId="2" borderId="0" xfId="0" applyFill="1"/>
    <xf numFmtId="0" fontId="0" fillId="0" borderId="0" xfId="0" applyAlignment="1">
      <alignment wrapText="1"/>
    </xf>
    <xf numFmtId="164" fontId="0" fillId="0" borderId="0" xfId="0" applyNumberFormat="1"/>
    <xf numFmtId="164" fontId="0" fillId="0" borderId="0" xfId="0" applyNumberFormat="1" applyAlignment="1">
      <alignment wrapText="1"/>
    </xf>
    <xf numFmtId="3" fontId="0" fillId="0" borderId="0" xfId="0" applyNumberFormat="1"/>
    <xf numFmtId="0" fontId="2" fillId="5" borderId="1" xfId="1" applyBorder="1" applyAlignment="1">
      <alignment horizontal="center" vertical="center"/>
    </xf>
    <xf numFmtId="0" fontId="1" fillId="3" borderId="0" xfId="0" applyFont="1" applyFill="1" applyAlignment="1">
      <alignment horizontal="center" vertical="center"/>
    </xf>
    <xf numFmtId="0" fontId="2" fillId="5" borderId="0" xfId="1" applyAlignment="1">
      <alignment horizontal="center" vertical="center"/>
    </xf>
    <xf numFmtId="0" fontId="2" fillId="5" borderId="0" xfId="1" applyAlignment="1">
      <alignment horizontal="center" vertical="center" wrapText="1"/>
    </xf>
    <xf numFmtId="0" fontId="2" fillId="5" borderId="0" xfId="1"/>
    <xf numFmtId="0" fontId="0" fillId="4" borderId="0" xfId="0" applyFill="1"/>
    <xf numFmtId="0" fontId="0" fillId="0" borderId="0" xfId="0" applyAlignment="1">
      <alignment horizontal="left" indent="9"/>
    </xf>
    <xf numFmtId="0" fontId="0" fillId="0" borderId="0" xfId="0" applyAlignment="1">
      <alignment horizontal="left" indent="17"/>
    </xf>
    <xf numFmtId="0" fontId="0" fillId="0" borderId="0" xfId="0" applyAlignment="1">
      <alignment horizontal="left" indent="20"/>
    </xf>
    <xf numFmtId="0" fontId="0" fillId="0" borderId="0" xfId="0" applyAlignment="1">
      <alignment vertical="center" wrapText="1"/>
    </xf>
  </cellXfs>
  <cellStyles count="2">
    <cellStyle name="60% - Énfasis1" xfId="1" builtinId="3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E54B-E582-444A-B579-2B59B23B278E}">
  <dimension ref="A1:D7"/>
  <sheetViews>
    <sheetView workbookViewId="0">
      <selection sqref="A1:D1"/>
    </sheetView>
  </sheetViews>
  <sheetFormatPr baseColWidth="10" defaultRowHeight="14.25" x14ac:dyDescent="0.45"/>
  <cols>
    <col min="1" max="1" width="17.9296875" customWidth="1"/>
    <col min="2" max="2" width="28.9296875" customWidth="1"/>
    <col min="3" max="3" width="72.73046875" customWidth="1"/>
    <col min="4" max="4" width="33.33203125" customWidth="1"/>
  </cols>
  <sheetData>
    <row r="1" spans="1:4" x14ac:dyDescent="0.45">
      <c r="A1" s="8" t="s">
        <v>89</v>
      </c>
      <c r="B1" s="8" t="s">
        <v>90</v>
      </c>
      <c r="C1" s="8" t="s">
        <v>91</v>
      </c>
      <c r="D1" s="8" t="s">
        <v>92</v>
      </c>
    </row>
    <row r="2" spans="1:4" x14ac:dyDescent="0.45">
      <c r="A2" t="s">
        <v>66</v>
      </c>
      <c r="B2" t="s">
        <v>67</v>
      </c>
      <c r="C2" t="s">
        <v>68</v>
      </c>
      <c r="D2" t="s">
        <v>69</v>
      </c>
    </row>
    <row r="3" spans="1:4" x14ac:dyDescent="0.45">
      <c r="A3" t="s">
        <v>70</v>
      </c>
      <c r="B3" t="s">
        <v>71</v>
      </c>
      <c r="C3" t="s">
        <v>72</v>
      </c>
      <c r="D3" t="s">
        <v>69</v>
      </c>
    </row>
    <row r="4" spans="1:4" x14ac:dyDescent="0.45">
      <c r="A4" t="s">
        <v>73</v>
      </c>
      <c r="B4" t="s">
        <v>74</v>
      </c>
      <c r="C4" t="s">
        <v>75</v>
      </c>
      <c r="D4" t="s">
        <v>76</v>
      </c>
    </row>
    <row r="5" spans="1:4" x14ac:dyDescent="0.45">
      <c r="A5" t="s">
        <v>77</v>
      </c>
      <c r="B5" t="s">
        <v>78</v>
      </c>
      <c r="C5" t="s">
        <v>79</v>
      </c>
      <c r="D5" t="s">
        <v>80</v>
      </c>
    </row>
    <row r="6" spans="1:4" x14ac:dyDescent="0.45">
      <c r="A6" t="s">
        <v>81</v>
      </c>
      <c r="B6" t="s">
        <v>82</v>
      </c>
      <c r="C6" t="s">
        <v>83</v>
      </c>
      <c r="D6" t="s">
        <v>84</v>
      </c>
    </row>
    <row r="7" spans="1:4" x14ac:dyDescent="0.45">
      <c r="A7" t="s">
        <v>85</v>
      </c>
      <c r="B7" t="s">
        <v>86</v>
      </c>
      <c r="C7" t="s">
        <v>87</v>
      </c>
      <c r="D7"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opLeftCell="B1" workbookViewId="0">
      <selection activeCell="G7" sqref="G7"/>
    </sheetView>
  </sheetViews>
  <sheetFormatPr baseColWidth="10" defaultColWidth="9.06640625" defaultRowHeight="14.25" x14ac:dyDescent="0.45"/>
  <cols>
    <col min="1" max="1" width="9.06640625" customWidth="1"/>
    <col min="2" max="2" width="31.86328125" customWidth="1"/>
    <col min="3" max="3" width="75.73046875" customWidth="1"/>
    <col min="4" max="4" width="24.59765625" customWidth="1"/>
    <col min="5" max="5" width="25.59765625" customWidth="1"/>
    <col min="6" max="6" width="25.33203125" customWidth="1"/>
    <col min="7" max="7" width="49.46484375" customWidth="1"/>
    <col min="8" max="8" width="53.6640625" customWidth="1"/>
    <col min="9" max="9" width="32.86328125" customWidth="1"/>
    <col min="12" max="12" width="9.06640625" customWidth="1"/>
  </cols>
  <sheetData>
    <row r="1" spans="1:11" x14ac:dyDescent="0.45">
      <c r="A1" s="3" t="s">
        <v>0</v>
      </c>
      <c r="B1" s="3" t="s">
        <v>1</v>
      </c>
      <c r="C1" s="1" t="s">
        <v>2</v>
      </c>
      <c r="D1" s="1" t="s">
        <v>13</v>
      </c>
      <c r="E1" s="1" t="s">
        <v>3</v>
      </c>
      <c r="F1" s="1" t="s">
        <v>12</v>
      </c>
      <c r="G1" s="1" t="s">
        <v>4</v>
      </c>
      <c r="H1" s="1" t="s">
        <v>5</v>
      </c>
      <c r="I1" s="1" t="s">
        <v>6</v>
      </c>
    </row>
    <row r="2" spans="1:11" s="5" customFormat="1" ht="47.25" customHeight="1" x14ac:dyDescent="0.45">
      <c r="A2" s="5" t="s">
        <v>18</v>
      </c>
      <c r="B2" s="5" t="s">
        <v>27</v>
      </c>
      <c r="C2" s="5" t="s">
        <v>28</v>
      </c>
      <c r="D2" s="5" t="s">
        <v>7</v>
      </c>
      <c r="E2" s="5" t="s">
        <v>29</v>
      </c>
      <c r="F2" s="5" t="s">
        <v>30</v>
      </c>
      <c r="G2" s="6" t="s">
        <v>50</v>
      </c>
      <c r="H2" s="5" t="s">
        <v>26</v>
      </c>
      <c r="I2" s="5" t="s">
        <v>31</v>
      </c>
    </row>
    <row r="3" spans="1:11" ht="55.5" customHeight="1" x14ac:dyDescent="0.45">
      <c r="A3" t="s">
        <v>19</v>
      </c>
      <c r="B3" t="s">
        <v>32</v>
      </c>
      <c r="C3" t="s">
        <v>33</v>
      </c>
      <c r="D3" t="s">
        <v>7</v>
      </c>
      <c r="E3" t="s">
        <v>34</v>
      </c>
      <c r="F3" t="s">
        <v>30</v>
      </c>
      <c r="G3" s="4" t="s">
        <v>51</v>
      </c>
      <c r="H3" t="s">
        <v>35</v>
      </c>
      <c r="I3" t="s">
        <v>31</v>
      </c>
    </row>
    <row r="4" spans="1:11" ht="73.150000000000006" customHeight="1" x14ac:dyDescent="0.45">
      <c r="A4" t="s">
        <v>20</v>
      </c>
      <c r="B4" t="s">
        <v>36</v>
      </c>
      <c r="C4" s="4" t="s">
        <v>37</v>
      </c>
      <c r="D4" t="s">
        <v>7</v>
      </c>
      <c r="E4" t="s">
        <v>38</v>
      </c>
      <c r="F4" t="s">
        <v>39</v>
      </c>
      <c r="G4" s="4" t="s">
        <v>51</v>
      </c>
      <c r="H4" t="s">
        <v>40</v>
      </c>
      <c r="I4" t="s">
        <v>31</v>
      </c>
    </row>
    <row r="5" spans="1:11" ht="80.25" customHeight="1" x14ac:dyDescent="0.45">
      <c r="A5" t="s">
        <v>21</v>
      </c>
      <c r="B5" t="s">
        <v>41</v>
      </c>
      <c r="C5" t="s">
        <v>42</v>
      </c>
      <c r="D5" t="s">
        <v>7</v>
      </c>
      <c r="E5" t="s">
        <v>38</v>
      </c>
      <c r="F5" t="s">
        <v>30</v>
      </c>
      <c r="G5" s="4" t="s">
        <v>53</v>
      </c>
      <c r="H5" t="s">
        <v>40</v>
      </c>
      <c r="I5" t="s">
        <v>31</v>
      </c>
    </row>
    <row r="6" spans="1:11" ht="66.400000000000006" customHeight="1" x14ac:dyDescent="0.45">
      <c r="A6" t="s">
        <v>22</v>
      </c>
      <c r="B6" t="s">
        <v>43</v>
      </c>
      <c r="C6" t="s">
        <v>44</v>
      </c>
      <c r="D6" t="s">
        <v>7</v>
      </c>
      <c r="E6" t="s">
        <v>45</v>
      </c>
      <c r="F6" t="s">
        <v>39</v>
      </c>
      <c r="G6" s="4" t="s">
        <v>54</v>
      </c>
      <c r="H6" t="s">
        <v>52</v>
      </c>
    </row>
    <row r="7" spans="1:11" ht="76.900000000000006" customHeight="1" x14ac:dyDescent="0.45">
      <c r="A7" t="s">
        <v>23</v>
      </c>
      <c r="B7" t="s">
        <v>46</v>
      </c>
      <c r="C7" s="4" t="s">
        <v>47</v>
      </c>
      <c r="D7" t="s">
        <v>7</v>
      </c>
      <c r="E7" t="s">
        <v>48</v>
      </c>
      <c r="F7" t="s">
        <v>49</v>
      </c>
      <c r="G7" s="4" t="s">
        <v>55</v>
      </c>
      <c r="H7" t="s">
        <v>40</v>
      </c>
      <c r="I7" t="s">
        <v>31</v>
      </c>
    </row>
    <row r="16" spans="1:11" x14ac:dyDescent="0.45">
      <c r="K16" s="2"/>
    </row>
  </sheetData>
  <phoneticPr fontId="3"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topLeftCell="D1" workbookViewId="0">
      <selection activeCell="D8" sqref="D8"/>
    </sheetView>
  </sheetViews>
  <sheetFormatPr baseColWidth="10" defaultColWidth="9.06640625" defaultRowHeight="14.25" x14ac:dyDescent="0.45"/>
  <cols>
    <col min="1" max="1" width="22.53125" customWidth="1"/>
    <col min="2" max="2" width="34.3984375" customWidth="1"/>
    <col min="3" max="3" width="81.53125" customWidth="1"/>
    <col min="4" max="4" width="54.3984375" customWidth="1"/>
    <col min="5" max="5" width="22.53125" customWidth="1"/>
  </cols>
  <sheetData>
    <row r="1" spans="1:5" x14ac:dyDescent="0.45">
      <c r="A1" s="3" t="s">
        <v>0</v>
      </c>
      <c r="B1" s="3" t="s">
        <v>14</v>
      </c>
      <c r="C1" s="3" t="s">
        <v>8</v>
      </c>
      <c r="D1" s="3" t="s">
        <v>4</v>
      </c>
      <c r="E1" s="3" t="s">
        <v>6</v>
      </c>
    </row>
    <row r="2" spans="1:5" ht="34.9" customHeight="1" x14ac:dyDescent="0.45">
      <c r="A2" t="s">
        <v>24</v>
      </c>
      <c r="B2" t="s">
        <v>56</v>
      </c>
      <c r="C2" s="4" t="s">
        <v>57</v>
      </c>
      <c r="D2" s="4" t="s">
        <v>58</v>
      </c>
      <c r="E2" t="s">
        <v>31</v>
      </c>
    </row>
    <row r="3" spans="1:5" ht="91.5" customHeight="1" x14ac:dyDescent="0.45">
      <c r="A3" t="s">
        <v>25</v>
      </c>
      <c r="B3" t="s">
        <v>59</v>
      </c>
      <c r="C3" t="s">
        <v>60</v>
      </c>
      <c r="D3" s="4" t="s">
        <v>61</v>
      </c>
      <c r="E3" t="s">
        <v>31</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C1" sqref="C1"/>
    </sheetView>
  </sheetViews>
  <sheetFormatPr baseColWidth="10" defaultColWidth="9.06640625" defaultRowHeight="14.25" x14ac:dyDescent="0.45"/>
  <cols>
    <col min="1" max="1" width="9.19921875" customWidth="1"/>
    <col min="2" max="2" width="60.33203125" customWidth="1"/>
    <col min="3" max="3" width="36.19921875" customWidth="1"/>
    <col min="4" max="4" width="12.33203125" customWidth="1"/>
  </cols>
  <sheetData>
    <row r="1" spans="1:4" x14ac:dyDescent="0.45">
      <c r="A1" s="3" t="s">
        <v>9</v>
      </c>
      <c r="B1" s="3" t="s">
        <v>10</v>
      </c>
      <c r="C1" s="3" t="s">
        <v>3</v>
      </c>
      <c r="D1" s="3" t="s">
        <v>11</v>
      </c>
    </row>
    <row r="2" spans="1:4" x14ac:dyDescent="0.45">
      <c r="A2" t="s">
        <v>93</v>
      </c>
      <c r="B2" t="s">
        <v>94</v>
      </c>
      <c r="C2" t="s">
        <v>95</v>
      </c>
      <c r="D2" t="s">
        <v>96</v>
      </c>
    </row>
    <row r="3" spans="1:4" x14ac:dyDescent="0.45">
      <c r="A3" t="s">
        <v>97</v>
      </c>
      <c r="B3" t="s">
        <v>98</v>
      </c>
      <c r="C3" t="s">
        <v>99</v>
      </c>
      <c r="D3" t="s">
        <v>100</v>
      </c>
    </row>
    <row r="4" spans="1:4" x14ac:dyDescent="0.45">
      <c r="A4" t="s">
        <v>101</v>
      </c>
      <c r="B4" t="s">
        <v>102</v>
      </c>
      <c r="C4" t="s">
        <v>103</v>
      </c>
      <c r="D4" t="s">
        <v>96</v>
      </c>
    </row>
    <row r="5" spans="1:4" x14ac:dyDescent="0.45">
      <c r="A5" t="s">
        <v>104</v>
      </c>
      <c r="B5" t="s">
        <v>105</v>
      </c>
      <c r="C5" t="s">
        <v>99</v>
      </c>
      <c r="D5" t="s">
        <v>100</v>
      </c>
    </row>
    <row r="6" spans="1:4" x14ac:dyDescent="0.45">
      <c r="A6" t="s">
        <v>106</v>
      </c>
      <c r="B6" t="s">
        <v>107</v>
      </c>
      <c r="C6" t="s">
        <v>108</v>
      </c>
      <c r="D6" t="s">
        <v>96</v>
      </c>
    </row>
    <row r="7" spans="1:4" x14ac:dyDescent="0.45">
      <c r="A7" t="s">
        <v>109</v>
      </c>
      <c r="B7" t="s">
        <v>110</v>
      </c>
      <c r="C7" t="s">
        <v>111</v>
      </c>
      <c r="D7" t="s">
        <v>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BDF0-7CA2-4553-9646-2E504363DE61}">
  <dimension ref="A1:E9"/>
  <sheetViews>
    <sheetView workbookViewId="0">
      <selection activeCell="C16" sqref="C16"/>
    </sheetView>
  </sheetViews>
  <sheetFormatPr baseColWidth="10" defaultRowHeight="14.25" x14ac:dyDescent="0.45"/>
  <cols>
    <col min="2" max="2" width="39.86328125" customWidth="1"/>
    <col min="3" max="3" width="55.19921875" customWidth="1"/>
    <col min="4" max="4" width="29.796875" customWidth="1"/>
  </cols>
  <sheetData>
    <row r="1" spans="1:5" x14ac:dyDescent="0.45">
      <c r="A1" s="9" t="s">
        <v>7</v>
      </c>
      <c r="B1" s="9" t="s">
        <v>15</v>
      </c>
      <c r="C1" s="9" t="s">
        <v>16</v>
      </c>
      <c r="D1" s="9" t="s">
        <v>112</v>
      </c>
      <c r="E1" s="9" t="s">
        <v>17</v>
      </c>
    </row>
    <row r="2" spans="1:5" x14ac:dyDescent="0.45">
      <c r="A2" t="s">
        <v>18</v>
      </c>
      <c r="B2" t="s">
        <v>62</v>
      </c>
      <c r="C2" t="s">
        <v>113</v>
      </c>
      <c r="D2" t="s">
        <v>114</v>
      </c>
      <c r="E2" t="s">
        <v>63</v>
      </c>
    </row>
    <row r="3" spans="1:5" x14ac:dyDescent="0.45">
      <c r="A3" t="s">
        <v>19</v>
      </c>
      <c r="B3" t="s">
        <v>115</v>
      </c>
      <c r="C3" t="s">
        <v>116</v>
      </c>
      <c r="D3" t="s">
        <v>117</v>
      </c>
      <c r="E3" t="s">
        <v>63</v>
      </c>
    </row>
    <row r="4" spans="1:5" x14ac:dyDescent="0.45">
      <c r="A4" t="s">
        <v>20</v>
      </c>
      <c r="B4" t="s">
        <v>118</v>
      </c>
      <c r="C4" t="s">
        <v>119</v>
      </c>
      <c r="D4" t="s">
        <v>120</v>
      </c>
      <c r="E4" t="s">
        <v>63</v>
      </c>
    </row>
    <row r="5" spans="1:5" x14ac:dyDescent="0.45">
      <c r="A5" t="s">
        <v>21</v>
      </c>
      <c r="B5" t="s">
        <v>121</v>
      </c>
      <c r="C5" t="s">
        <v>122</v>
      </c>
      <c r="D5" t="s">
        <v>123</v>
      </c>
      <c r="E5" t="s">
        <v>63</v>
      </c>
    </row>
    <row r="6" spans="1:5" x14ac:dyDescent="0.45">
      <c r="A6" t="s">
        <v>22</v>
      </c>
      <c r="B6" t="s">
        <v>124</v>
      </c>
      <c r="C6" t="s">
        <v>125</v>
      </c>
      <c r="D6" t="s">
        <v>126</v>
      </c>
      <c r="E6" t="s">
        <v>63</v>
      </c>
    </row>
    <row r="7" spans="1:5" x14ac:dyDescent="0.45">
      <c r="A7" t="s">
        <v>23</v>
      </c>
      <c r="B7" t="s">
        <v>127</v>
      </c>
      <c r="C7" t="s">
        <v>128</v>
      </c>
      <c r="D7" t="s">
        <v>129</v>
      </c>
      <c r="E7" t="s">
        <v>63</v>
      </c>
    </row>
    <row r="8" spans="1:5" x14ac:dyDescent="0.45">
      <c r="A8" t="s">
        <v>24</v>
      </c>
      <c r="B8" t="s">
        <v>64</v>
      </c>
      <c r="C8" t="s">
        <v>130</v>
      </c>
      <c r="D8" t="s">
        <v>131</v>
      </c>
      <c r="E8" t="s">
        <v>65</v>
      </c>
    </row>
    <row r="9" spans="1:5" x14ac:dyDescent="0.45">
      <c r="A9" t="s">
        <v>25</v>
      </c>
      <c r="B9" t="s">
        <v>132</v>
      </c>
      <c r="C9" t="s">
        <v>133</v>
      </c>
      <c r="D9" t="s">
        <v>134</v>
      </c>
      <c r="E9" t="s">
        <v>135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7038-E404-46AB-9AE4-AA9A7BCDD925}">
  <dimension ref="A1:D2"/>
  <sheetViews>
    <sheetView workbookViewId="0">
      <selection activeCell="D3" sqref="D3"/>
    </sheetView>
  </sheetViews>
  <sheetFormatPr baseColWidth="10" defaultRowHeight="14.25" x14ac:dyDescent="0.45"/>
  <cols>
    <col min="1" max="1" width="18.86328125" customWidth="1"/>
    <col min="3" max="3" width="29.265625" customWidth="1"/>
    <col min="4" max="4" width="23.73046875" customWidth="1"/>
  </cols>
  <sheetData>
    <row r="1" spans="1:4" x14ac:dyDescent="0.45">
      <c r="A1" s="12" t="s">
        <v>136</v>
      </c>
      <c r="B1" s="12" t="s">
        <v>137</v>
      </c>
      <c r="C1" s="12" t="s">
        <v>138</v>
      </c>
      <c r="D1" s="12" t="s">
        <v>139</v>
      </c>
    </row>
    <row r="2" spans="1:4" x14ac:dyDescent="0.45">
      <c r="A2" t="s">
        <v>140</v>
      </c>
      <c r="B2">
        <f>$C2/$D2</f>
        <v>1.2E-2</v>
      </c>
      <c r="C2">
        <v>15</v>
      </c>
      <c r="D2" s="7">
        <v>1250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0F0C-E8FE-4694-A38B-CBBF8849A91D}">
  <dimension ref="A1:C2"/>
  <sheetViews>
    <sheetView workbookViewId="0">
      <selection activeCell="D8" sqref="D8"/>
    </sheetView>
  </sheetViews>
  <sheetFormatPr baseColWidth="10" defaultRowHeight="14.25" x14ac:dyDescent="0.45"/>
  <cols>
    <col min="1" max="1" width="17.73046875" customWidth="1"/>
    <col min="2" max="2" width="22.06640625" customWidth="1"/>
  </cols>
  <sheetData>
    <row r="1" spans="1:3" x14ac:dyDescent="0.45">
      <c r="A1" s="12" t="s">
        <v>141</v>
      </c>
      <c r="B1" s="12" t="s">
        <v>142</v>
      </c>
      <c r="C1" s="12" t="s">
        <v>143</v>
      </c>
    </row>
    <row r="2" spans="1:3" x14ac:dyDescent="0.45">
      <c r="A2">
        <f>$B2/$C2</f>
        <v>40</v>
      </c>
      <c r="B2">
        <v>120</v>
      </c>
      <c r="C2">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0B5F-A5C7-47EB-9AFF-19363BB39545}">
  <dimension ref="A1:D4"/>
  <sheetViews>
    <sheetView workbookViewId="0">
      <selection activeCell="A8" sqref="A8"/>
    </sheetView>
  </sheetViews>
  <sheetFormatPr baseColWidth="10" defaultRowHeight="14.25" x14ac:dyDescent="0.45"/>
  <cols>
    <col min="1" max="1" width="22.33203125" customWidth="1"/>
    <col min="2" max="2" width="27.19921875" customWidth="1"/>
    <col min="3" max="3" width="30.53125" customWidth="1"/>
    <col min="4" max="4" width="32.33203125" customWidth="1"/>
  </cols>
  <sheetData>
    <row r="1" spans="1:4" ht="28.5" x14ac:dyDescent="0.45">
      <c r="A1" s="10" t="s">
        <v>144</v>
      </c>
      <c r="B1" s="11" t="s">
        <v>145</v>
      </c>
      <c r="C1" s="10" t="s">
        <v>146</v>
      </c>
      <c r="D1" s="10" t="s">
        <v>147</v>
      </c>
    </row>
    <row r="2" spans="1:4" x14ac:dyDescent="0.45">
      <c r="A2">
        <f>SUM(B2:B4)/COUNTA(B2:B4)</f>
        <v>26.666666666666668</v>
      </c>
      <c r="B2" s="15">
        <v>20</v>
      </c>
      <c r="C2" s="16">
        <v>1</v>
      </c>
      <c r="D2" s="14">
        <v>3</v>
      </c>
    </row>
    <row r="3" spans="1:4" x14ac:dyDescent="0.45">
      <c r="B3">
        <v>35</v>
      </c>
      <c r="C3">
        <v>2</v>
      </c>
    </row>
    <row r="4" spans="1:4" x14ac:dyDescent="0.45">
      <c r="B4">
        <v>25</v>
      </c>
      <c r="C4">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49A7-9FEA-4C4A-80CD-B36C4DC3D775}">
  <dimension ref="A1:B6"/>
  <sheetViews>
    <sheetView tabSelected="1" workbookViewId="0">
      <selection activeCell="A9" sqref="A9"/>
    </sheetView>
  </sheetViews>
  <sheetFormatPr baseColWidth="10" defaultRowHeight="14.25" x14ac:dyDescent="0.45"/>
  <cols>
    <col min="1" max="1" width="162.3984375" customWidth="1"/>
  </cols>
  <sheetData>
    <row r="1" spans="1:2" x14ac:dyDescent="0.45">
      <c r="A1" s="13" t="s">
        <v>148</v>
      </c>
      <c r="B1" s="13"/>
    </row>
    <row r="2" spans="1:2" ht="28.5" x14ac:dyDescent="0.45">
      <c r="A2" s="17" t="s">
        <v>149</v>
      </c>
    </row>
    <row r="3" spans="1:2" x14ac:dyDescent="0.45">
      <c r="A3" s="13" t="s">
        <v>150</v>
      </c>
    </row>
    <row r="4" spans="1:2" ht="28.5" x14ac:dyDescent="0.45">
      <c r="A4" s="4" t="s">
        <v>151</v>
      </c>
    </row>
    <row r="5" spans="1:2" x14ac:dyDescent="0.45">
      <c r="A5" s="13" t="s">
        <v>152</v>
      </c>
    </row>
    <row r="6" spans="1:2" ht="85.5" x14ac:dyDescent="0.45">
      <c r="A6" s="4" t="s">
        <v>153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CASO DE USO</vt:lpstr>
      <vt:lpstr>Requisitos Funcionales</vt:lpstr>
      <vt:lpstr>Requisitos No Funcionales</vt:lpstr>
      <vt:lpstr>Reglas de Negocio</vt:lpstr>
      <vt:lpstr>TRANZABILIDAD</vt:lpstr>
      <vt:lpstr>METRICA</vt:lpstr>
      <vt:lpstr>MTBF</vt:lpstr>
      <vt:lpstr>MTTR</vt:lpstr>
      <vt:lpstr>IMTERPRETACION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2025-12-08T15:30:59Z</dcterms:created>
  <dcterms:modified xsi:type="dcterms:W3CDTF">2025-12-09T04:03:07Z</dcterms:modified>
</cp:coreProperties>
</file>